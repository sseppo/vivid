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ai-stuff\Projects\WebApp\Active\Visualisatium\files\v0.5.3\"/>
    </mc:Choice>
  </mc:AlternateContent>
  <xr:revisionPtr revIDLastSave="0" documentId="13_ncr:1_{E5276FE7-7370-4282-8433-6B8ADF45ADDC}" xr6:coauthVersionLast="47" xr6:coauthVersionMax="47" xr10:uidLastSave="{00000000-0000-0000-0000-000000000000}"/>
  <bookViews>
    <workbookView xWindow="-28920" yWindow="2490" windowWidth="29040" windowHeight="15720" xr2:uid="{C3A30C01-0F48-4178-B10B-4396FA3857FD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6" i="1" l="1"/>
  <c r="H15" i="1"/>
  <c r="G15" i="1"/>
  <c r="F15" i="1"/>
  <c r="H14" i="1"/>
  <c r="G14" i="1"/>
  <c r="F14" i="1"/>
  <c r="H13" i="1"/>
  <c r="G13" i="1"/>
  <c r="F13" i="1"/>
  <c r="H12" i="1"/>
  <c r="G12" i="1"/>
  <c r="F12" i="1"/>
  <c r="H11" i="1"/>
  <c r="G11" i="1"/>
  <c r="F11" i="1"/>
  <c r="K10" i="1"/>
  <c r="J10" i="1"/>
  <c r="I10" i="1"/>
  <c r="H10" i="1"/>
  <c r="G10" i="1"/>
  <c r="F10" i="1"/>
  <c r="H21" i="1"/>
  <c r="G21" i="1"/>
  <c r="F21" i="1"/>
  <c r="H20" i="1"/>
  <c r="G20" i="1"/>
  <c r="F20" i="1"/>
  <c r="H19" i="1"/>
  <c r="G19" i="1"/>
  <c r="F19" i="1"/>
  <c r="C21" i="1"/>
  <c r="C20" i="1"/>
  <c r="C19" i="1"/>
  <c r="I19" i="1" s="1"/>
  <c r="C3" i="1"/>
  <c r="C5" i="1"/>
  <c r="C4" i="1"/>
  <c r="C15" i="1"/>
  <c r="C14" i="1"/>
  <c r="C13" i="1"/>
  <c r="C12" i="1"/>
  <c r="C11" i="1"/>
  <c r="J11" i="1" s="1"/>
  <c r="J21" i="1" l="1"/>
  <c r="K20" i="1"/>
  <c r="K19" i="1"/>
  <c r="J19" i="1"/>
  <c r="K21" i="1"/>
  <c r="J12" i="1"/>
  <c r="K12" i="1"/>
  <c r="I13" i="1"/>
  <c r="J13" i="1"/>
  <c r="K13" i="1"/>
  <c r="I14" i="1"/>
  <c r="J14" i="1"/>
  <c r="I20" i="1"/>
  <c r="J20" i="1"/>
  <c r="K14" i="1"/>
  <c r="K11" i="1"/>
  <c r="I15" i="1"/>
  <c r="I21" i="1"/>
  <c r="I11" i="1"/>
  <c r="J15" i="1"/>
  <c r="K15" i="1"/>
  <c r="I12" i="1"/>
</calcChain>
</file>

<file path=xl/sharedStrings.xml><?xml version="1.0" encoding="utf-8"?>
<sst xmlns="http://schemas.openxmlformats.org/spreadsheetml/2006/main" count="64" uniqueCount="51">
  <si>
    <t>Result</t>
  </si>
  <si>
    <t>Image</t>
  </si>
  <si>
    <t>Cost in credits</t>
  </si>
  <si>
    <t>Video</t>
  </si>
  <si>
    <t>Physical output</t>
  </si>
  <si>
    <t>amount unit</t>
  </si>
  <si>
    <t>seconds</t>
  </si>
  <si>
    <t>piece</t>
  </si>
  <si>
    <t>Collection</t>
  </si>
  <si>
    <t>3D model</t>
  </si>
  <si>
    <t>Credit to money conversion</t>
  </si>
  <si>
    <t>Price to purchase</t>
  </si>
  <si>
    <t>Cost in €</t>
  </si>
  <si>
    <t>hour</t>
  </si>
  <si>
    <t>Manhour of Work</t>
  </si>
  <si>
    <t>Digital prodcut</t>
  </si>
  <si>
    <t>Basic amounts</t>
  </si>
  <si>
    <t>amount of result</t>
  </si>
  <si>
    <t>Credit amount packs</t>
  </si>
  <si>
    <t>Monthly payments</t>
  </si>
  <si>
    <t>Basic</t>
  </si>
  <si>
    <t>Medium</t>
  </si>
  <si>
    <t>Advanced</t>
  </si>
  <si>
    <t>credits per month</t>
  </si>
  <si>
    <t>price</t>
  </si>
  <si>
    <t>Discount %</t>
  </si>
  <si>
    <t>equals nr of images</t>
  </si>
  <si>
    <t>equals nr of videos</t>
  </si>
  <si>
    <t>Manhours</t>
  </si>
  <si>
    <t>cost per image</t>
  </si>
  <si>
    <t>cost per video</t>
  </si>
  <si>
    <t>cost per mahhour</t>
  </si>
  <si>
    <t>Invoiced</t>
  </si>
  <si>
    <t>Combination of manhours, partner pricing delivery costs, overall costs (which covers insurance etc)</t>
  </si>
  <si>
    <t>Combination of mahours</t>
  </si>
  <si>
    <t>Payment method</t>
  </si>
  <si>
    <t>Combination of manhours</t>
  </si>
  <si>
    <t>Combination of mahours and image and video amount in collection and other work related (i.e. digization, delivery)</t>
  </si>
  <si>
    <t>Digital person</t>
  </si>
  <si>
    <t>Special invoiced</t>
  </si>
  <si>
    <t>Invoicing minimum</t>
  </si>
  <si>
    <t>Miminum of manhour in all invoiced products</t>
  </si>
  <si>
    <t>Price depends and is calculated based on</t>
  </si>
  <si>
    <t>Description or example</t>
  </si>
  <si>
    <t>One created or modified image</t>
  </si>
  <si>
    <t>One hour of work for any subject</t>
  </si>
  <si>
    <t>Information</t>
  </si>
  <si>
    <t>Information, such as digization place nearest to customer or most suitable for task (May contain more than 1 contact details)</t>
  </si>
  <si>
    <t>Content Creator Agent provision</t>
  </si>
  <si>
    <t>Review Period in days</t>
  </si>
  <si>
    <t>One created or modified video clip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</si>
</sst>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-* #,##0.00\ &quot;€&quot;_-;\-* #,##0.00\ &quot;€&quot;_-;_-* &quot;-&quot;??\ &quot;€&quot;_-;_-@_-"/>
    <numFmt numFmtId="164" formatCode="_-* #,##0\ &quot;€&quot;_-;\-* #,##0\ &quot;€&quot;_-;_-* &quot;-&quot;??\ &quot;€&quot;_-;_-@_-"/>
  </numFmts>
  <fonts count="3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1"/>
      <color rgb="FF3F3F76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C99"/>
      </patternFill>
    </fill>
  </fills>
  <borders count="2">
    <border>
      <left/>
      <right/>
      <top/>
      <bottom/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</borders>
  <cellStyleXfs count="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2" borderId="1" applyNumberFormat="0" applyAlignment="0" applyProtection="0"/>
  </cellStyleXfs>
  <cellXfs count="11">
    <xf numFmtId="0" fontId="0" fillId="0" borderId="0" xfId="0"/>
    <xf numFmtId="164" fontId="0" fillId="0" borderId="0" xfId="1" applyNumberFormat="1" applyFont="1"/>
    <xf numFmtId="164" fontId="2" fillId="2" borderId="1" xfId="3" applyNumberFormat="1"/>
    <xf numFmtId="0" fontId="2" fillId="2" borderId="1" xfId="3"/>
    <xf numFmtId="9" fontId="0" fillId="0" borderId="0" xfId="2" applyFont="1"/>
    <xf numFmtId="164" fontId="0" fillId="0" borderId="0" xfId="0" applyNumberFormat="1"/>
    <xf numFmtId="9" fontId="2" fillId="2" borderId="1" xfId="3" applyNumberFormat="1"/>
    <xf numFmtId="2" fontId="0" fillId="0" borderId="0" xfId="0" applyNumberFormat="1"/>
    <xf numFmtId="44" fontId="0" fillId="0" borderId="0" xfId="0" applyNumberFormat="1"/>
    <xf numFmtId="9" fontId="0" fillId="0" borderId="0" xfId="0" applyNumberFormat="1"/>
    <xf numFmtId="9" fontId="2" fillId="2" borderId="1" xfId="2" applyFont="1" applyFill="1" applyBorder="1"/>
  </cellXfs>
  <cellStyles count="4">
    <cellStyle name="Currency" xfId="1" builtinId="4"/>
    <cellStyle name="Input" xfId="3" builtinId="20"/>
    <cellStyle name="Normal" xfId="0" builtinId="0"/>
    <cellStyle name="Percent" xfId="2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6E7464E-F03C-4F68-88D1-7751E76A2519}">
  <dimension ref="A1:K40"/>
  <sheetViews>
    <sheetView tabSelected="1" workbookViewId="0">
      <selection activeCell="F4" sqref="F4"/>
    </sheetView>
  </sheetViews>
  <sheetFormatPr defaultRowHeight="15" x14ac:dyDescent="0.25"/>
  <cols>
    <col min="1" max="1" width="29.42578125" customWidth="1"/>
    <col min="2" max="2" width="17.28515625" customWidth="1"/>
    <col min="3" max="3" width="19" customWidth="1"/>
    <col min="4" max="4" width="18.140625" customWidth="1"/>
    <col min="5" max="5" width="17" customWidth="1"/>
    <col min="6" max="6" width="20.140625" customWidth="1"/>
    <col min="7" max="7" width="18.42578125" customWidth="1"/>
    <col min="8" max="8" width="12.5703125" customWidth="1"/>
    <col min="9" max="9" width="16.85546875" customWidth="1"/>
    <col min="10" max="10" width="13.42578125" customWidth="1"/>
    <col min="11" max="11" width="19" customWidth="1"/>
  </cols>
  <sheetData>
    <row r="1" spans="1:11" x14ac:dyDescent="0.25">
      <c r="A1" t="s">
        <v>16</v>
      </c>
    </row>
    <row r="2" spans="1:11" x14ac:dyDescent="0.25">
      <c r="A2" t="s">
        <v>0</v>
      </c>
      <c r="B2" t="s">
        <v>2</v>
      </c>
      <c r="C2" t="s">
        <v>12</v>
      </c>
      <c r="D2" t="s">
        <v>5</v>
      </c>
      <c r="E2" t="s">
        <v>17</v>
      </c>
      <c r="F2" t="s">
        <v>43</v>
      </c>
    </row>
    <row r="3" spans="1:11" x14ac:dyDescent="0.25">
      <c r="A3" t="s">
        <v>1</v>
      </c>
      <c r="B3" s="3">
        <v>1</v>
      </c>
      <c r="C3" s="5">
        <f>($B3*$B$10)*$C$10</f>
        <v>1</v>
      </c>
      <c r="D3" t="s">
        <v>7</v>
      </c>
      <c r="E3" s="3">
        <v>1</v>
      </c>
      <c r="F3" t="s">
        <v>44</v>
      </c>
    </row>
    <row r="4" spans="1:11" x14ac:dyDescent="0.25">
      <c r="A4" t="s">
        <v>3</v>
      </c>
      <c r="B4" s="3">
        <v>5</v>
      </c>
      <c r="C4" s="5">
        <f>($B4*$B$10)*$C$10</f>
        <v>5</v>
      </c>
      <c r="D4" t="s">
        <v>6</v>
      </c>
      <c r="E4" s="3">
        <v>1</v>
      </c>
      <c r="F4" t="s">
        <v>50</v>
      </c>
    </row>
    <row r="5" spans="1:11" x14ac:dyDescent="0.25">
      <c r="A5" t="s">
        <v>14</v>
      </c>
      <c r="B5" s="3">
        <v>75</v>
      </c>
      <c r="C5" s="5">
        <f>($B5*$B$10)*$C$10</f>
        <v>75</v>
      </c>
      <c r="D5" t="s">
        <v>13</v>
      </c>
      <c r="E5" s="3">
        <v>1</v>
      </c>
      <c r="F5" t="s">
        <v>45</v>
      </c>
    </row>
    <row r="6" spans="1:11" x14ac:dyDescent="0.25">
      <c r="A6" t="s">
        <v>46</v>
      </c>
      <c r="B6" s="3">
        <v>10</v>
      </c>
      <c r="C6" s="5">
        <f>($B6*$B$10)*$C$10</f>
        <v>10</v>
      </c>
      <c r="D6" t="s">
        <v>7</v>
      </c>
      <c r="E6" s="3">
        <v>1</v>
      </c>
      <c r="F6" t="s">
        <v>47</v>
      </c>
    </row>
    <row r="8" spans="1:11" x14ac:dyDescent="0.25">
      <c r="A8" t="s">
        <v>10</v>
      </c>
    </row>
    <row r="9" spans="1:11" x14ac:dyDescent="0.25">
      <c r="B9" t="s">
        <v>18</v>
      </c>
      <c r="C9" t="s">
        <v>11</v>
      </c>
      <c r="D9" t="s">
        <v>25</v>
      </c>
      <c r="F9" t="s">
        <v>26</v>
      </c>
      <c r="G9" t="s">
        <v>27</v>
      </c>
      <c r="H9" t="s">
        <v>28</v>
      </c>
      <c r="I9" t="s">
        <v>29</v>
      </c>
      <c r="J9" t="s">
        <v>30</v>
      </c>
      <c r="K9" t="s">
        <v>31</v>
      </c>
    </row>
    <row r="10" spans="1:11" x14ac:dyDescent="0.25">
      <c r="B10" s="3">
        <v>1</v>
      </c>
      <c r="C10" s="2">
        <v>1</v>
      </c>
      <c r="D10" s="4">
        <v>0</v>
      </c>
      <c r="F10">
        <f>B10/B$3</f>
        <v>1</v>
      </c>
      <c r="G10">
        <f>B10/B$4</f>
        <v>0.2</v>
      </c>
      <c r="H10" s="7">
        <f>B10/B$5</f>
        <v>1.3333333333333334E-2</v>
      </c>
      <c r="I10" s="8">
        <f>C10/F10</f>
        <v>1</v>
      </c>
      <c r="J10" s="8">
        <f>C10/G10</f>
        <v>5</v>
      </c>
      <c r="K10" s="8">
        <f>C10/H10</f>
        <v>75</v>
      </c>
    </row>
    <row r="11" spans="1:11" x14ac:dyDescent="0.25">
      <c r="B11" s="3">
        <v>10</v>
      </c>
      <c r="C11" s="1">
        <f>(B11*C$10)*(1-D11)</f>
        <v>9</v>
      </c>
      <c r="D11" s="6">
        <v>0.1</v>
      </c>
      <c r="F11">
        <f t="shared" ref="F11:F12" si="0">B11/B$3</f>
        <v>10</v>
      </c>
      <c r="G11">
        <f t="shared" ref="G11:G12" si="1">B11/B$4</f>
        <v>2</v>
      </c>
      <c r="H11" s="7">
        <f t="shared" ref="H11:H12" si="2">B11/B$5</f>
        <v>0.13333333333333333</v>
      </c>
      <c r="I11" s="8">
        <f t="shared" ref="I11:I12" si="3">C11/F11</f>
        <v>0.9</v>
      </c>
      <c r="J11" s="8">
        <f t="shared" ref="J11:J12" si="4">C11/G11</f>
        <v>4.5</v>
      </c>
      <c r="K11" s="8">
        <f t="shared" ref="K11:K12" si="5">C11/H11</f>
        <v>67.5</v>
      </c>
    </row>
    <row r="12" spans="1:11" x14ac:dyDescent="0.25">
      <c r="B12" s="3">
        <v>50</v>
      </c>
      <c r="C12" s="1">
        <f>(B12*C$10)*(1-D12)</f>
        <v>40</v>
      </c>
      <c r="D12" s="6">
        <v>0.2</v>
      </c>
      <c r="F12">
        <f t="shared" si="0"/>
        <v>50</v>
      </c>
      <c r="G12">
        <f t="shared" si="1"/>
        <v>10</v>
      </c>
      <c r="H12" s="7">
        <f t="shared" si="2"/>
        <v>0.66666666666666663</v>
      </c>
      <c r="I12" s="8">
        <f t="shared" si="3"/>
        <v>0.8</v>
      </c>
      <c r="J12" s="8">
        <f t="shared" si="4"/>
        <v>4</v>
      </c>
      <c r="K12" s="8">
        <f t="shared" si="5"/>
        <v>60</v>
      </c>
    </row>
    <row r="13" spans="1:11" x14ac:dyDescent="0.25">
      <c r="B13" s="3">
        <v>100</v>
      </c>
      <c r="C13" s="1">
        <f>(B13*C$10)*(1-D13)</f>
        <v>70</v>
      </c>
      <c r="D13" s="6">
        <v>0.3</v>
      </c>
      <c r="F13">
        <f t="shared" ref="F13:F15" si="6">B13/B$3</f>
        <v>100</v>
      </c>
      <c r="G13">
        <f t="shared" ref="G13:G15" si="7">B13/B$4</f>
        <v>20</v>
      </c>
      <c r="H13" s="7">
        <f t="shared" ref="H13:H15" si="8">B13/B$5</f>
        <v>1.3333333333333333</v>
      </c>
      <c r="I13" s="8">
        <f t="shared" ref="I13:I15" si="9">C13/F13</f>
        <v>0.7</v>
      </c>
      <c r="J13" s="8">
        <f t="shared" ref="J13:J15" si="10">C13/G13</f>
        <v>3.5</v>
      </c>
      <c r="K13" s="8">
        <f t="shared" ref="K13:K15" si="11">C13/H13</f>
        <v>52.5</v>
      </c>
    </row>
    <row r="14" spans="1:11" x14ac:dyDescent="0.25">
      <c r="B14" s="3">
        <v>500</v>
      </c>
      <c r="C14" s="1">
        <f>(B14*C$10)*(1-D14)</f>
        <v>325</v>
      </c>
      <c r="D14" s="6">
        <v>0.35</v>
      </c>
      <c r="F14">
        <f t="shared" si="6"/>
        <v>500</v>
      </c>
      <c r="G14">
        <f t="shared" si="7"/>
        <v>100</v>
      </c>
      <c r="H14" s="7">
        <f t="shared" si="8"/>
        <v>6.666666666666667</v>
      </c>
      <c r="I14" s="8">
        <f t="shared" si="9"/>
        <v>0.65</v>
      </c>
      <c r="J14" s="8">
        <f t="shared" si="10"/>
        <v>3.25</v>
      </c>
      <c r="K14" s="8">
        <f t="shared" si="11"/>
        <v>48.75</v>
      </c>
    </row>
    <row r="15" spans="1:11" x14ac:dyDescent="0.25">
      <c r="B15" s="3">
        <v>1000</v>
      </c>
      <c r="C15" s="1">
        <f>(B15*C$10)*(1-D15)</f>
        <v>600</v>
      </c>
      <c r="D15" s="6">
        <v>0.4</v>
      </c>
      <c r="F15">
        <f t="shared" si="6"/>
        <v>1000</v>
      </c>
      <c r="G15">
        <f t="shared" si="7"/>
        <v>200</v>
      </c>
      <c r="H15" s="7">
        <f t="shared" si="8"/>
        <v>13.333333333333334</v>
      </c>
      <c r="I15" s="8">
        <f t="shared" si="9"/>
        <v>0.6</v>
      </c>
      <c r="J15" s="8">
        <f t="shared" si="10"/>
        <v>3</v>
      </c>
      <c r="K15" s="8">
        <f t="shared" si="11"/>
        <v>45</v>
      </c>
    </row>
    <row r="17" spans="1:11" x14ac:dyDescent="0.25">
      <c r="A17" t="s">
        <v>19</v>
      </c>
    </row>
    <row r="18" spans="1:11" x14ac:dyDescent="0.25">
      <c r="B18" t="s">
        <v>23</v>
      </c>
      <c r="C18" t="s">
        <v>24</v>
      </c>
      <c r="D18" t="s">
        <v>25</v>
      </c>
      <c r="F18" t="s">
        <v>26</v>
      </c>
      <c r="G18" t="s">
        <v>27</v>
      </c>
      <c r="H18" t="s">
        <v>28</v>
      </c>
      <c r="I18" t="s">
        <v>29</v>
      </c>
      <c r="J18" t="s">
        <v>30</v>
      </c>
      <c r="K18" t="s">
        <v>31</v>
      </c>
    </row>
    <row r="19" spans="1:11" x14ac:dyDescent="0.25">
      <c r="A19" t="s">
        <v>20</v>
      </c>
      <c r="B19" s="3">
        <v>50</v>
      </c>
      <c r="C19" s="1">
        <f>(B19*C$10)*(1-D19)</f>
        <v>45</v>
      </c>
      <c r="D19" s="6">
        <v>0.1</v>
      </c>
      <c r="F19">
        <f>B19/B$3</f>
        <v>50</v>
      </c>
      <c r="G19">
        <f>B19/B$4</f>
        <v>10</v>
      </c>
      <c r="H19" s="7">
        <f>B19/B$5</f>
        <v>0.66666666666666663</v>
      </c>
      <c r="I19" s="8">
        <f>C19/F19</f>
        <v>0.9</v>
      </c>
      <c r="J19" s="8">
        <f>C19/G19</f>
        <v>4.5</v>
      </c>
      <c r="K19" s="8">
        <f>C19/H19</f>
        <v>67.5</v>
      </c>
    </row>
    <row r="20" spans="1:11" x14ac:dyDescent="0.25">
      <c r="A20" t="s">
        <v>21</v>
      </c>
      <c r="B20" s="3">
        <v>100</v>
      </c>
      <c r="C20" s="1">
        <f>(B20*C$10)*(1-D20)</f>
        <v>80</v>
      </c>
      <c r="D20" s="6">
        <v>0.2</v>
      </c>
      <c r="F20">
        <f t="shared" ref="F20:F21" si="12">B20/B$3</f>
        <v>100</v>
      </c>
      <c r="G20">
        <f t="shared" ref="G20:G21" si="13">B20/B$4</f>
        <v>20</v>
      </c>
      <c r="H20" s="7">
        <f t="shared" ref="H20:H21" si="14">B20/B$5</f>
        <v>1.3333333333333333</v>
      </c>
      <c r="I20" s="8">
        <f t="shared" ref="I20:I21" si="15">C20/F20</f>
        <v>0.8</v>
      </c>
      <c r="J20" s="8">
        <f t="shared" ref="J20:J21" si="16">C20/G20</f>
        <v>4</v>
      </c>
      <c r="K20" s="8">
        <f t="shared" ref="K20:K21" si="17">C20/H20</f>
        <v>60</v>
      </c>
    </row>
    <row r="21" spans="1:11" x14ac:dyDescent="0.25">
      <c r="A21" t="s">
        <v>22</v>
      </c>
      <c r="B21" s="3">
        <v>200</v>
      </c>
      <c r="C21" s="1">
        <f>(B21*C$10)*(1-D21)</f>
        <v>140</v>
      </c>
      <c r="D21" s="6">
        <v>0.3</v>
      </c>
      <c r="F21">
        <f t="shared" si="12"/>
        <v>200</v>
      </c>
      <c r="G21">
        <f t="shared" si="13"/>
        <v>40</v>
      </c>
      <c r="H21" s="7">
        <f t="shared" si="14"/>
        <v>2.6666666666666665</v>
      </c>
      <c r="I21" s="8">
        <f t="shared" si="15"/>
        <v>0.7</v>
      </c>
      <c r="J21" s="8">
        <f t="shared" si="16"/>
        <v>3.5</v>
      </c>
      <c r="K21" s="8">
        <f t="shared" si="17"/>
        <v>52.5</v>
      </c>
    </row>
    <row r="26" spans="1:11" x14ac:dyDescent="0.25">
      <c r="A26" t="s">
        <v>39</v>
      </c>
    </row>
    <row r="27" spans="1:11" x14ac:dyDescent="0.25">
      <c r="B27" t="s">
        <v>35</v>
      </c>
      <c r="C27" t="s">
        <v>42</v>
      </c>
    </row>
    <row r="28" spans="1:11" x14ac:dyDescent="0.25">
      <c r="A28" t="s">
        <v>4</v>
      </c>
      <c r="B28" t="s">
        <v>32</v>
      </c>
      <c r="C28" t="s">
        <v>33</v>
      </c>
    </row>
    <row r="29" spans="1:11" x14ac:dyDescent="0.25">
      <c r="A29" t="s">
        <v>8</v>
      </c>
      <c r="B29" t="s">
        <v>32</v>
      </c>
      <c r="C29" t="s">
        <v>37</v>
      </c>
    </row>
    <row r="30" spans="1:11" x14ac:dyDescent="0.25">
      <c r="A30" t="s">
        <v>9</v>
      </c>
      <c r="B30" t="s">
        <v>32</v>
      </c>
      <c r="C30" t="s">
        <v>34</v>
      </c>
    </row>
    <row r="31" spans="1:11" x14ac:dyDescent="0.25">
      <c r="A31" t="s">
        <v>15</v>
      </c>
      <c r="B31" t="s">
        <v>32</v>
      </c>
      <c r="C31" t="s">
        <v>36</v>
      </c>
    </row>
    <row r="32" spans="1:11" x14ac:dyDescent="0.25">
      <c r="A32" t="s">
        <v>38</v>
      </c>
      <c r="B32" t="s">
        <v>32</v>
      </c>
      <c r="C32" t="s">
        <v>37</v>
      </c>
    </row>
    <row r="34" spans="1:6" x14ac:dyDescent="0.25">
      <c r="A34" t="s">
        <v>40</v>
      </c>
      <c r="B34">
        <v>1</v>
      </c>
      <c r="C34" t="s">
        <v>41</v>
      </c>
    </row>
    <row r="36" spans="1:6" x14ac:dyDescent="0.25">
      <c r="A36" t="s">
        <v>48</v>
      </c>
      <c r="B36" s="10">
        <v>0.75</v>
      </c>
    </row>
    <row r="38" spans="1:6" x14ac:dyDescent="0.25">
      <c r="A38" t="s">
        <v>49</v>
      </c>
      <c r="B38" s="3">
        <v>14</v>
      </c>
    </row>
    <row r="39" spans="1:6" x14ac:dyDescent="0.25">
      <c r="B39" s="9"/>
      <c r="D39" s="7"/>
      <c r="F39" s="5"/>
    </row>
    <row r="40" spans="1:6" x14ac:dyDescent="0.25">
      <c r="B40" s="9"/>
      <c r="D40" s="7"/>
      <c r="F40" s="5"/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Seppo Laukkanen</dc:creator>
  <cp:lastModifiedBy>Seppo Laukkanen</cp:lastModifiedBy>
  <dcterms:created xsi:type="dcterms:W3CDTF">2025-12-29T15:59:09Z</dcterms:created>
  <dcterms:modified xsi:type="dcterms:W3CDTF">2026-02-02T13:20:47Z</dcterms:modified>
</cp:coreProperties>
</file>