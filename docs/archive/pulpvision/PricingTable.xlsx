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i\pulpvision\planning\0.1\"/>
    </mc:Choice>
  </mc:AlternateContent>
  <xr:revisionPtr revIDLastSave="0" documentId="13_ncr:1_{C1D99BFD-2FDB-41BB-8BA4-F3363AB49708}" xr6:coauthVersionLast="47" xr6:coauthVersionMax="47" xr10:uidLastSave="{00000000-0000-0000-0000-000000000000}"/>
  <bookViews>
    <workbookView xWindow="-28920" yWindow="2490" windowWidth="29040" windowHeight="15720" xr2:uid="{C3A30C01-0F48-4178-B10B-4396FA3857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G26" i="1"/>
  <c r="F26" i="1"/>
  <c r="G25" i="1"/>
  <c r="F25" i="1"/>
  <c r="G24" i="1"/>
  <c r="I24" i="1" s="1"/>
  <c r="F24" i="1"/>
  <c r="H24" i="1" s="1"/>
  <c r="G23" i="1"/>
  <c r="F23" i="1"/>
  <c r="G22" i="1"/>
  <c r="F22" i="1"/>
  <c r="G21" i="1"/>
  <c r="I21" i="1" s="1"/>
  <c r="F21" i="1"/>
  <c r="H21" i="1" s="1"/>
  <c r="C15" i="1"/>
  <c r="C16" i="1"/>
  <c r="C26" i="1"/>
  <c r="C25" i="1"/>
  <c r="C24" i="1"/>
  <c r="C23" i="1"/>
  <c r="C22" i="1"/>
  <c r="H25" i="1" l="1"/>
  <c r="I23" i="1"/>
  <c r="I22" i="1"/>
  <c r="I25" i="1"/>
  <c r="H23" i="1"/>
  <c r="H26" i="1"/>
  <c r="H22" i="1"/>
  <c r="I26" i="1"/>
</calcChain>
</file>

<file path=xl/sharedStrings.xml><?xml version="1.0" encoding="utf-8"?>
<sst xmlns="http://schemas.openxmlformats.org/spreadsheetml/2006/main" count="29" uniqueCount="29">
  <si>
    <t>Result</t>
  </si>
  <si>
    <t>Image</t>
  </si>
  <si>
    <t>Cost in credits</t>
  </si>
  <si>
    <t>Video</t>
  </si>
  <si>
    <t>amount unit</t>
  </si>
  <si>
    <t>seconds</t>
  </si>
  <si>
    <t>piece</t>
  </si>
  <si>
    <t>Price to purchase</t>
  </si>
  <si>
    <t>Cost in €</t>
  </si>
  <si>
    <t>amount of result</t>
  </si>
  <si>
    <t>Discount %</t>
  </si>
  <si>
    <t>equals nr of images</t>
  </si>
  <si>
    <t>equals nr of videos</t>
  </si>
  <si>
    <t>cost per image</t>
  </si>
  <si>
    <t>cost per video</t>
  </si>
  <si>
    <t>Description or example</t>
  </si>
  <si>
    <t>One created or modified image</t>
  </si>
  <si>
    <t>One created or modified video</t>
  </si>
  <si>
    <t>Review Period in days</t>
  </si>
  <si>
    <t>Membership payments, monthly</t>
  </si>
  <si>
    <t>Watcher</t>
  </si>
  <si>
    <t>Creator</t>
  </si>
  <si>
    <t>price per month</t>
  </si>
  <si>
    <t>Site provision on their membership</t>
  </si>
  <si>
    <t>Pay Yearly Discount %</t>
  </si>
  <si>
    <t>price per year</t>
  </si>
  <si>
    <t>Content creation with AI</t>
  </si>
  <si>
    <t>Credit puchases</t>
  </si>
  <si>
    <t>Credit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</si>
</sst>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12">
    <xf numFmtId="0" fontId="0" fillId="0" borderId="0" xfId="0"/>
    <xf numFmtId="164" fontId="0" fillId="0" borderId="0" xfId="1" applyNumberFormat="1" applyFont="1"/>
    <xf numFmtId="164" fontId="2" fillId="2" borderId="1" xfId="3" applyNumberFormat="1"/>
    <xf numFmtId="0" fontId="2" fillId="2" borderId="1" xfId="3"/>
    <xf numFmtId="9" fontId="0" fillId="0" borderId="0" xfId="2" applyFont="1"/>
    <xf numFmtId="164" fontId="0" fillId="0" borderId="0" xfId="0" applyNumberFormat="1"/>
    <xf numFmtId="9" fontId="2" fillId="2" borderId="1" xfId="3" applyNumberFormat="1"/>
    <xf numFmtId="2" fontId="0" fillId="0" borderId="0" xfId="0" applyNumberFormat="1"/>
    <xf numFmtId="44" fontId="0" fillId="0" borderId="0" xfId="0" applyNumberFormat="1"/>
    <xf numFmtId="9" fontId="0" fillId="0" borderId="0" xfId="0" applyNumberFormat="1"/>
    <xf numFmtId="9" fontId="2" fillId="2" borderId="1" xfId="2" applyFont="1" applyFill="1" applyBorder="1"/>
    <xf numFmtId="164" fontId="2" fillId="2" borderId="1" xfId="1" applyNumberFormat="1" applyFont="1" applyFill="1" applyBorder="1"/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64E-F03C-4F68-88D1-7751E76A2519}">
  <dimension ref="A2:K32"/>
  <sheetViews>
    <sheetView tabSelected="1" workbookViewId="0">
      <selection activeCell="I12" sqref="I12"/>
    </sheetView>
  </sheetViews>
  <sheetFormatPr defaultRowHeight="15" x14ac:dyDescent="0.25"/>
  <cols>
    <col min="1" max="1" width="33" customWidth="1"/>
    <col min="2" max="2" width="16.42578125" customWidth="1"/>
    <col min="3" max="3" width="19" customWidth="1"/>
    <col min="4" max="4" width="21.28515625" customWidth="1"/>
    <col min="5" max="5" width="17" customWidth="1"/>
    <col min="6" max="6" width="20.140625" customWidth="1"/>
    <col min="7" max="7" width="18.42578125" customWidth="1"/>
    <col min="8" max="8" width="12.5703125" customWidth="1"/>
    <col min="9" max="9" width="16.85546875" customWidth="1"/>
    <col min="10" max="10" width="13.42578125" customWidth="1"/>
    <col min="11" max="11" width="19" customWidth="1"/>
  </cols>
  <sheetData>
    <row r="2" spans="1:11" x14ac:dyDescent="0.25">
      <c r="A2" t="s">
        <v>19</v>
      </c>
    </row>
    <row r="3" spans="1:11" x14ac:dyDescent="0.25">
      <c r="B3" t="s">
        <v>22</v>
      </c>
      <c r="C3" t="s">
        <v>24</v>
      </c>
      <c r="D3" t="s">
        <v>25</v>
      </c>
    </row>
    <row r="4" spans="1:11" x14ac:dyDescent="0.25">
      <c r="A4" t="s">
        <v>20</v>
      </c>
      <c r="B4" s="11">
        <v>5</v>
      </c>
      <c r="C4" s="6">
        <v>0.1</v>
      </c>
      <c r="D4" s="5">
        <f>(12*B4)*(1-C4)</f>
        <v>54</v>
      </c>
      <c r="H4" s="7"/>
      <c r="I4" s="8"/>
      <c r="J4" s="8"/>
      <c r="K4" s="8"/>
    </row>
    <row r="5" spans="1:11" x14ac:dyDescent="0.25">
      <c r="A5" t="s">
        <v>21</v>
      </c>
      <c r="B5" s="11">
        <v>20</v>
      </c>
      <c r="C5" s="6">
        <v>0.2</v>
      </c>
      <c r="D5" s="5">
        <f>(12*B5)*(1-C5)</f>
        <v>192</v>
      </c>
      <c r="H5" s="7"/>
      <c r="I5" s="8"/>
      <c r="J5" s="8"/>
      <c r="K5" s="8"/>
    </row>
    <row r="7" spans="1:11" x14ac:dyDescent="0.25">
      <c r="A7" t="s">
        <v>23</v>
      </c>
      <c r="B7" s="10">
        <v>0.1</v>
      </c>
    </row>
    <row r="9" spans="1:11" x14ac:dyDescent="0.25">
      <c r="A9" t="s">
        <v>18</v>
      </c>
      <c r="B9" s="3">
        <v>14</v>
      </c>
    </row>
    <row r="13" spans="1:11" x14ac:dyDescent="0.25">
      <c r="A13" t="s">
        <v>26</v>
      </c>
    </row>
    <row r="14" spans="1:11" x14ac:dyDescent="0.25">
      <c r="A14" t="s">
        <v>0</v>
      </c>
      <c r="B14" t="s">
        <v>2</v>
      </c>
      <c r="C14" t="s">
        <v>8</v>
      </c>
      <c r="D14" t="s">
        <v>4</v>
      </c>
      <c r="E14" t="s">
        <v>9</v>
      </c>
      <c r="F14" t="s">
        <v>15</v>
      </c>
    </row>
    <row r="15" spans="1:11" x14ac:dyDescent="0.25">
      <c r="A15" t="s">
        <v>1</v>
      </c>
      <c r="B15" s="3">
        <v>1</v>
      </c>
      <c r="C15" s="5">
        <f>($B15*$B$21)*$C$21</f>
        <v>5</v>
      </c>
      <c r="D15" t="s">
        <v>6</v>
      </c>
      <c r="E15" s="3">
        <v>1</v>
      </c>
      <c r="F15" t="s">
        <v>16</v>
      </c>
    </row>
    <row r="16" spans="1:11" x14ac:dyDescent="0.25">
      <c r="A16" t="s">
        <v>3</v>
      </c>
      <c r="B16" s="3">
        <v>5</v>
      </c>
      <c r="C16" s="5">
        <f>($B16*$B$21)*$C$21</f>
        <v>25</v>
      </c>
      <c r="D16" t="s">
        <v>5</v>
      </c>
      <c r="E16" s="3">
        <v>15</v>
      </c>
      <c r="F16" t="s">
        <v>17</v>
      </c>
    </row>
    <row r="19" spans="1:11" x14ac:dyDescent="0.25">
      <c r="A19" t="s">
        <v>27</v>
      </c>
    </row>
    <row r="20" spans="1:11" x14ac:dyDescent="0.25">
      <c r="B20" t="s">
        <v>28</v>
      </c>
      <c r="C20" t="s">
        <v>7</v>
      </c>
      <c r="D20" t="s">
        <v>10</v>
      </c>
      <c r="F20" t="s">
        <v>11</v>
      </c>
      <c r="G20" t="s">
        <v>12</v>
      </c>
      <c r="H20" t="s">
        <v>13</v>
      </c>
      <c r="I20" t="s">
        <v>14</v>
      </c>
    </row>
    <row r="21" spans="1:11" x14ac:dyDescent="0.25">
      <c r="B21" s="3">
        <v>1</v>
      </c>
      <c r="C21" s="2">
        <v>5</v>
      </c>
      <c r="D21" s="4">
        <v>0</v>
      </c>
      <c r="F21">
        <f>B21/B$15</f>
        <v>1</v>
      </c>
      <c r="G21">
        <f>B21/B$16</f>
        <v>0.2</v>
      </c>
      <c r="H21" s="8">
        <f>C21/F21</f>
        <v>5</v>
      </c>
      <c r="I21" s="8">
        <f>C21/G21</f>
        <v>25</v>
      </c>
      <c r="K21" s="8"/>
    </row>
    <row r="22" spans="1:11" x14ac:dyDescent="0.25">
      <c r="B22" s="3">
        <v>10</v>
      </c>
      <c r="C22" s="1">
        <f>(B22*C$21)*(1-D22)</f>
        <v>45</v>
      </c>
      <c r="D22" s="6">
        <v>0.1</v>
      </c>
      <c r="F22">
        <f>B22/B$15</f>
        <v>10</v>
      </c>
      <c r="G22">
        <f>B22/B$16</f>
        <v>2</v>
      </c>
      <c r="H22" s="8">
        <f>C22/F22</f>
        <v>4.5</v>
      </c>
      <c r="I22" s="8">
        <f>C22/G22</f>
        <v>22.5</v>
      </c>
      <c r="K22" s="8"/>
    </row>
    <row r="23" spans="1:11" x14ac:dyDescent="0.25">
      <c r="B23" s="3">
        <v>50</v>
      </c>
      <c r="C23" s="1">
        <f>(B23*C$21)*(1-D23)</f>
        <v>200</v>
      </c>
      <c r="D23" s="6">
        <v>0.2</v>
      </c>
      <c r="F23">
        <f>B23/B$15</f>
        <v>50</v>
      </c>
      <c r="G23">
        <f>B23/B$16</f>
        <v>10</v>
      </c>
      <c r="H23" s="8">
        <f>C23/F23</f>
        <v>4</v>
      </c>
      <c r="I23" s="8">
        <f>C23/G23</f>
        <v>20</v>
      </c>
      <c r="K23" s="8"/>
    </row>
    <row r="24" spans="1:11" x14ac:dyDescent="0.25">
      <c r="B24" s="3">
        <v>100</v>
      </c>
      <c r="C24" s="1">
        <f>(B24*C$21)*(1-D24)</f>
        <v>350</v>
      </c>
      <c r="D24" s="6">
        <v>0.3</v>
      </c>
      <c r="F24">
        <f>B24/B$15</f>
        <v>100</v>
      </c>
      <c r="G24">
        <f>B24/B$16</f>
        <v>20</v>
      </c>
      <c r="H24" s="8">
        <f>C24/F24</f>
        <v>3.5</v>
      </c>
      <c r="I24" s="8">
        <f>C24/G24</f>
        <v>17.5</v>
      </c>
      <c r="K24" s="8"/>
    </row>
    <row r="25" spans="1:11" x14ac:dyDescent="0.25">
      <c r="B25" s="3">
        <v>500</v>
      </c>
      <c r="C25" s="1">
        <f>(B25*C$21)*(1-D25)</f>
        <v>1625</v>
      </c>
      <c r="D25" s="6">
        <v>0.35</v>
      </c>
      <c r="F25">
        <f>B25/B$15</f>
        <v>500</v>
      </c>
      <c r="G25">
        <f>B25/B$16</f>
        <v>100</v>
      </c>
      <c r="H25" s="8">
        <f>C25/F25</f>
        <v>3.25</v>
      </c>
      <c r="I25" s="8">
        <f>C25/G25</f>
        <v>16.25</v>
      </c>
      <c r="K25" s="8"/>
    </row>
    <row r="26" spans="1:11" x14ac:dyDescent="0.25">
      <c r="B26" s="3">
        <v>1000</v>
      </c>
      <c r="C26" s="1">
        <f>(B26*C$21)*(1-D26)</f>
        <v>3000</v>
      </c>
      <c r="D26" s="6">
        <v>0.4</v>
      </c>
      <c r="F26">
        <f>B26/B$15</f>
        <v>1000</v>
      </c>
      <c r="G26">
        <f>B26/B$16</f>
        <v>200</v>
      </c>
      <c r="H26" s="8">
        <f>C26/F26</f>
        <v>3</v>
      </c>
      <c r="I26" s="8">
        <f>C26/G26</f>
        <v>15</v>
      </c>
      <c r="K26" s="8"/>
    </row>
    <row r="31" spans="1:11" x14ac:dyDescent="0.25">
      <c r="B31" s="9"/>
      <c r="D31" s="7"/>
      <c r="F31" s="5"/>
    </row>
    <row r="32" spans="1:11" x14ac:dyDescent="0.25">
      <c r="B32" s="9"/>
      <c r="D32" s="7"/>
      <c r="F32" s="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Seppo Laukkanen</dc:creator>
  <cp:lastModifiedBy>Seppo Laukkanen</cp:lastModifiedBy>
  <dcterms:created xsi:type="dcterms:W3CDTF">2025-12-29T15:59:09Z</dcterms:created>
  <dcterms:modified xsi:type="dcterms:W3CDTF">2026-01-06T22:24:35Z</dcterms:modified>
</cp:coreProperties>
</file>